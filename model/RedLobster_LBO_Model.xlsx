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2014 Deal" sheetId="2" state="visible" r:id="rId2"/>
    <sheet xmlns:r="http://schemas.openxmlformats.org/officeDocument/2006/relationships" name="Pre-2014 Operating History" sheetId="3" state="visible" r:id="rId3"/>
    <sheet xmlns:r="http://schemas.openxmlformats.org/officeDocument/2006/relationships" name="2016 Anchor Point" sheetId="4" state="visible" r:id="rId4"/>
    <sheet xmlns:r="http://schemas.openxmlformats.org/officeDocument/2006/relationships" name="Capital Structure 2024" sheetId="5" state="visible" r:id="rId5"/>
    <sheet xmlns:r="http://schemas.openxmlformats.org/officeDocument/2006/relationships" name="Lease-Adjusted Leverage" sheetId="6" state="visible" r:id="rId6"/>
    <sheet xmlns:r="http://schemas.openxmlformats.org/officeDocument/2006/relationships" name="2023 Liquidity Collapse" sheetId="7" state="visible" r:id="rId7"/>
    <sheet xmlns:r="http://schemas.openxmlformats.org/officeDocument/2006/relationships" name="Ownership &amp; Outco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#,##0.0;(#,##0.0)"/>
    <numFmt numFmtId="166" formatCode="0.00&quot;x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sz val="10"/>
    </font>
    <font>
      <name val="Calibri"/>
      <b val="1"/>
      <sz val="11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color rgb="000000FF"/>
      <sz val="10"/>
    </font>
    <font>
      <name val="Calibri"/>
      <b val="1"/>
    </font>
    <font>
      <name val="Calibri"/>
      <color rgb="00000000"/>
      <sz val="10"/>
    </font>
    <font>
      <name val="Calibr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/>
    </xf>
    <xf numFmtId="0" fontId="3" fillId="3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3" fillId="3" borderId="1" pivotButton="0" quotePrefix="0" xfId="0"/>
    <xf numFmtId="0" fontId="2" fillId="0" borderId="1" pivotButton="0" quotePrefix="0" xfId="0"/>
    <xf numFmtId="164" fontId="7" fillId="0" borderId="1" pivotButton="0" quotePrefix="0" xfId="0"/>
    <xf numFmtId="164" fontId="8" fillId="0" borderId="1" pivotButton="0" quotePrefix="0" xfId="0"/>
    <xf numFmtId="0" fontId="5" fillId="2" borderId="1" applyAlignment="1" pivotButton="0" quotePrefix="0" xfId="0">
      <alignment horizontal="center"/>
    </xf>
    <xf numFmtId="165" fontId="6" fillId="0" borderId="1" pivotButton="0" quotePrefix="0" xfId="0"/>
    <xf numFmtId="9" fontId="6" fillId="0" borderId="1" pivotButton="0" quotePrefix="0" xfId="0"/>
    <xf numFmtId="0" fontId="4" fillId="0" borderId="0" applyAlignment="1" pivotButton="0" quotePrefix="0" xfId="0">
      <alignment wrapText="1"/>
    </xf>
    <xf numFmtId="165" fontId="8" fillId="0" borderId="0" pivotButton="0" quotePrefix="0" xfId="0"/>
    <xf numFmtId="165" fontId="8" fillId="0" borderId="1" pivotButton="0" quotePrefix="0" xfId="0"/>
    <xf numFmtId="166" fontId="9" fillId="4" borderId="1" pivotButton="0" quotePrefix="0" xfId="0"/>
    <xf numFmtId="165" fontId="7" fillId="0" borderId="1" pivotButton="0" quotePrefix="0" xfId="0"/>
    <xf numFmtId="166" fontId="7" fillId="0" borderId="1" pivotButton="0" quotePrefix="0" xfId="0"/>
    <xf numFmtId="0" fontId="4" fillId="0" borderId="1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9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model</author>
  </authors>
  <commentList>
    <comment ref="B17" authorId="0" shapeId="0">
      <text>
        <t>Small gap ($13M on $2.1B) likely reflects rounding in the press-reported $600M/$1.5B split vs. the precise $2,113M disclosed consideration.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8" authorId="0" shapeId="0">
      <text>
        <t>THE ONE FULLY ASSUMED NUMBER IN THIS WORKBOOK. 8x annual rent is a commonly used rule of thumb for capitalizing operating leases into a debt-equivalent balance (~12.5% implied cap rate). Not a figure from any Red Lobster filing -- change this cell to test sensitivity.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Red Lobster -- LBO Case Study Model</t>
        </is>
      </c>
    </row>
    <row r="3" ht="30" customHeight="1">
      <c r="A3" s="2" t="inlineStr">
        <is>
          <t>A reconstruction of the 2014 Golden Gate Capital acquisition of Red Lobster from Darden Restaurants (with a simultaneous real-estate sale-leaseback) through the May 2024 Chapter 11 filing. See docs/sources.md for every citation.</t>
        </is>
      </c>
    </row>
    <row r="5">
      <c r="A5" s="3" t="inlineStr">
        <is>
          <t>HOW THIS DIFFERS FROM A CONVENTIONAL LBO MODEL</t>
        </is>
      </c>
    </row>
    <row r="6">
      <c r="A6" s="4" t="inlineStr">
        <is>
          <t>• Golden Gate Capital put up only $600M of equity for a $2.1B deal -- a $1.5B real-estate sale-leaseback funded the rest.</t>
        </is>
      </c>
    </row>
    <row r="7">
      <c r="A7" s="4" t="inlineStr">
        <is>
          <t>• The sponsor (Golden Gate) fully exited in 2020, four years before the 2024 bankruptcy -- it did not hold through the collapse.</t>
        </is>
      </c>
    </row>
    <row r="8">
      <c r="A8" s="4" t="inlineStr">
        <is>
          <t>• Funded debt at the 2024 filing was a modest $294M. The real fixed-cost burden was $190.5M/year of above-market rent.</t>
        </is>
      </c>
    </row>
    <row r="9">
      <c r="A9" s="4" t="inlineStr">
        <is>
          <t>• No continuous annual financial panel exists -- Red Lobster was private with no SEC reporting obligation from 2014-2024.</t>
        </is>
      </c>
    </row>
    <row r="10">
      <c r="A10" s="4" t="inlineStr">
        <is>
          <t>• The equity wiped out in 2024 belonged to Thai Union / Seafood Alliance / former management, not Golden Gate.</t>
        </is>
      </c>
    </row>
    <row r="12">
      <c r="A12" s="3" t="inlineStr">
        <is>
          <t>TABS IN THIS WORKBOOK</t>
        </is>
      </c>
    </row>
    <row r="13">
      <c r="A13" s="5" t="inlineStr">
        <is>
          <t>2014 Deal:  How the $2.1B purchase was actually funded, and what Darden did with the proceeds.</t>
        </is>
      </c>
    </row>
    <row r="14">
      <c r="A14" s="5" t="inlineStr">
        <is>
          <t>Pre-2014 Operating History:  Red Lobster's declining EBITDA as a Darden segment, FY2010 through the sale.</t>
        </is>
      </c>
    </row>
    <row r="15">
      <c r="A15" s="5" t="inlineStr">
        <is>
          <t>2016 Anchor Point:  Thai Union's $575M investment and the financials disclosed around it.</t>
        </is>
      </c>
    </row>
    <row r="16">
      <c r="A16" s="5" t="inlineStr">
        <is>
          <t>Capital Structure 2024:  Funded debt and lease obligations at the Chapter 11 filing.</t>
        </is>
      </c>
    </row>
    <row r="17">
      <c r="A17" s="5" t="inlineStr">
        <is>
          <t>Lease-Adjusted Leverage:  The illustrative capitalized-lease analysis -- the one flagged assumption in this workbook.</t>
        </is>
      </c>
    </row>
    <row r="18">
      <c r="A18" s="5" t="inlineStr">
        <is>
          <t>2023 Liquidity Collapse:  The cash walk from $100M to &lt;$30M, as laid out in the first-day declaration.</t>
        </is>
      </c>
    </row>
    <row r="19">
      <c r="A19" s="5" t="inlineStr">
        <is>
          <t>Ownership &amp; Outcome:  Who held equity when, and what happened to it in 2024.</t>
        </is>
      </c>
    </row>
    <row r="21">
      <c r="A21" s="3" t="inlineStr">
        <is>
          <t>KEY DISCLAIMER</t>
        </is>
      </c>
    </row>
    <row r="22" ht="60" customHeight="1">
      <c r="A22" s="6" t="inlineStr">
        <is>
          <t>Blue font = pulled directly from a cited source. Black font = formula computed from those inputs. The ONE red-font figure in this workbook (the lease capitalization multiple, on the Lease-Adjusted Leverage tab) is an explicit, labeled illustrative assumption -- a standard credit-analysis rule of thumb, not a disclosed or audited figure. Several cells are explicitly left blank rather than estimated (e.g. Golden Gate Capital's 2020 exit terms) -- see docs/sources.md for exactly what is and isn't known.</t>
        </is>
      </c>
    </row>
  </sheetData>
  <mergeCells count="4">
    <mergeCell ref="A21"/>
    <mergeCell ref="A5"/>
    <mergeCell ref="A1"/>
    <mergeCell ref="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30" customWidth="1" min="3" max="3"/>
    <col width="60" customWidth="1" min="4" max="4"/>
  </cols>
  <sheetData>
    <row r="1" ht="28" customHeight="1">
      <c r="A1" s="1" t="inlineStr">
        <is>
          <t>2014 Sale: Darden → Golden Gate Capital</t>
        </is>
      </c>
    </row>
    <row r="3">
      <c r="A3" s="7" t="inlineStr">
        <is>
          <t>See docs/sources.md §1-2.</t>
        </is>
      </c>
    </row>
    <row r="5">
      <c r="A5" s="8" t="inlineStr">
        <is>
          <t>Item</t>
        </is>
      </c>
      <c r="B5" s="8" t="inlineStr">
        <is>
          <t>$M</t>
        </is>
      </c>
      <c r="C5" s="8" t="inlineStr">
        <is>
          <t>Source</t>
        </is>
      </c>
      <c r="D5" s="8" t="inlineStr">
        <is>
          <t>Notes</t>
        </is>
      </c>
    </row>
    <row r="6">
      <c r="A6" s="9" t="inlineStr">
        <is>
          <t>Total consideration (debt- and cash-free)</t>
        </is>
      </c>
      <c r="B6" s="10" t="n">
        <v>2113</v>
      </c>
      <c r="C6" s="11" t="inlineStr">
        <is>
          <t>Darden investor presentation</t>
        </is>
      </c>
      <c r="D6" s="11" t="inlineStr">
        <is>
          <t>9x LTM EBITDA of $229M ~= $2,061M, close to the $2,113M actual price</t>
        </is>
      </c>
    </row>
    <row r="7">
      <c r="A7" s="9" t="inlineStr">
        <is>
          <t>Purchase multiple (x LTM EBITDA)</t>
        </is>
      </c>
      <c r="B7" s="10" t="n">
        <v>9</v>
      </c>
      <c r="C7" s="11" t="inlineStr">
        <is>
          <t>Darden investor presentation</t>
        </is>
      </c>
      <c r="D7" s="11" t="inlineStr"/>
    </row>
    <row r="8">
      <c r="A8" s="9" t="inlineStr">
        <is>
          <t>Golden Gate Capital equity contributed</t>
        </is>
      </c>
      <c r="B8" s="10" t="n">
        <v>600</v>
      </c>
      <c r="C8" s="11" t="inlineStr">
        <is>
          <t>Press (Yahoo Finance/Fast Company)</t>
        </is>
      </c>
      <c r="D8" s="11" t="inlineStr">
        <is>
          <t>Not in the Darden presentation -- this is the buy-side financing, which Darden (the seller) would not disclose</t>
        </is>
      </c>
    </row>
    <row r="9">
      <c r="A9" s="9" t="inlineStr">
        <is>
          <t>Real estate sale-leaseback proceeds (American Realty Capital)</t>
        </is>
      </c>
      <c r="B9" s="10" t="n">
        <v>1500</v>
      </c>
      <c r="C9" s="11" t="inlineStr">
        <is>
          <t>Press (Yahoo Finance/Fast Company)</t>
        </is>
      </c>
      <c r="D9" s="11" t="inlineStr">
        <is>
          <t>Funded ~71% of the $2,113M purchase price. Ties: 600+1500=2100, ~matches 2113 total consideration.</t>
        </is>
      </c>
    </row>
    <row r="10">
      <c r="A10" s="9" t="inlineStr">
        <is>
          <t>Darden net cash proceeds after tax/fees</t>
        </is>
      </c>
      <c r="B10" s="10" t="n">
        <v>1600</v>
      </c>
      <c r="C10" s="11" t="inlineStr">
        <is>
          <t>Darden investor presentation</t>
        </is>
      </c>
      <c r="D10" s="11" t="inlineStr"/>
    </row>
    <row r="11">
      <c r="A11" s="9" t="inlineStr">
        <is>
          <t>Of which used for Darden debt repayment</t>
        </is>
      </c>
      <c r="B11" s="10" t="n">
        <v>1000</v>
      </c>
      <c r="C11" s="11" t="inlineStr">
        <is>
          <t>Darden investor presentation</t>
        </is>
      </c>
      <c r="D11" s="11" t="inlineStr"/>
    </row>
    <row r="12">
      <c r="A12" s="9" t="inlineStr">
        <is>
          <t>Of which used for Darden share buybacks</t>
        </is>
      </c>
      <c r="B12" s="10" t="n">
        <v>600</v>
      </c>
      <c r="C12" s="11" t="inlineStr">
        <is>
          <t>Darden investor presentation</t>
        </is>
      </c>
      <c r="D12" s="11" t="inlineStr">
        <is>
          <t>~$700M total FY2015 buyback program, partly funded from other sources too</t>
        </is>
      </c>
    </row>
    <row r="13">
      <c r="A13" s="12" t="n"/>
      <c r="B13" s="12" t="n"/>
      <c r="C13" s="12" t="n"/>
      <c r="D13" s="12" t="n"/>
    </row>
    <row r="14">
      <c r="A14" s="13" t="inlineStr">
        <is>
          <t>RECONCILIATION</t>
        </is>
      </c>
      <c r="B14" s="12" t="n"/>
      <c r="C14" s="12" t="n"/>
      <c r="D14" s="12" t="n"/>
    </row>
    <row r="15">
      <c r="A15" s="14" t="inlineStr">
        <is>
          <t>Golden Gate equity + real estate proceeds</t>
        </is>
      </c>
      <c r="B15" s="15">
        <f>B8+B9</f>
        <v/>
      </c>
      <c r="C15" s="12" t="n"/>
      <c r="D15" s="12" t="n"/>
    </row>
    <row r="16">
      <c r="A16" s="14" t="inlineStr">
        <is>
          <t>vs. disclosed total consideration</t>
        </is>
      </c>
      <c r="B16" s="10" t="n">
        <v>2113</v>
      </c>
      <c r="C16" s="12" t="n"/>
      <c r="D16" s="12" t="n"/>
    </row>
    <row r="17">
      <c r="A17" s="14" t="inlineStr">
        <is>
          <t>Difference</t>
        </is>
      </c>
      <c r="B17" s="16">
        <f>B15-B16</f>
        <v/>
      </c>
      <c r="C17" s="12" t="n"/>
      <c r="D17" s="12" t="n"/>
    </row>
  </sheetData>
  <mergeCells count="2">
    <mergeCell ref="A1:D1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Red Lobster as a Darden Segment (docs/sources.md §1)</t>
        </is>
      </c>
    </row>
    <row r="3">
      <c r="A3" s="7" t="inlineStr">
        <is>
          <t>Source: Darden's own 2014 investor presentation re: the Red Lobster sale.</t>
        </is>
      </c>
    </row>
    <row r="5">
      <c r="A5" s="8" t="inlineStr">
        <is>
          <t>Period</t>
        </is>
      </c>
      <c r="B5" s="17" t="inlineStr">
        <is>
          <t>FY2010</t>
        </is>
      </c>
      <c r="C5" s="17" t="inlineStr">
        <is>
          <t>FY2011</t>
        </is>
      </c>
      <c r="D5" s="17" t="inlineStr">
        <is>
          <t>FY2012</t>
        </is>
      </c>
      <c r="E5" s="17" t="inlineStr">
        <is>
          <t>FY2013</t>
        </is>
      </c>
      <c r="F5" s="17" t="inlineStr">
        <is>
          <t>Q3 LTM FY2014</t>
        </is>
      </c>
      <c r="G5" s="17" t="inlineStr">
        <is>
          <t>LTM pre-sale</t>
        </is>
      </c>
    </row>
    <row r="6">
      <c r="A6" s="14" t="inlineStr">
        <is>
          <t>Revenue ($B)</t>
        </is>
      </c>
      <c r="B6" s="18" t="n">
        <v>2.5</v>
      </c>
      <c r="C6" s="18" t="n">
        <v>2.5</v>
      </c>
      <c r="D6" s="18" t="n">
        <v>2.7</v>
      </c>
      <c r="E6" s="18" t="n">
        <v>2.6</v>
      </c>
      <c r="F6" s="18" t="n">
        <v>2.5</v>
      </c>
      <c r="G6" s="18" t="n">
        <v>2.5</v>
      </c>
    </row>
    <row r="7">
      <c r="A7" s="14" t="inlineStr">
        <is>
          <t>Revenue growth</t>
        </is>
      </c>
      <c r="B7" s="19" t="n">
        <v>0.01</v>
      </c>
      <c r="C7" s="19" t="n">
        <v>-0.05</v>
      </c>
      <c r="D7" s="19" t="n">
        <v>0.06</v>
      </c>
      <c r="E7" s="19" t="n">
        <v>-0.02</v>
      </c>
      <c r="F7" s="19" t="n">
        <v>-0.04</v>
      </c>
      <c r="G7" s="19" t="n">
        <v>-0.06</v>
      </c>
    </row>
    <row r="8">
      <c r="A8" s="14" t="inlineStr">
        <is>
          <t>EBITDA ($M)</t>
        </is>
      </c>
      <c r="B8" s="10" t="n">
        <v>313</v>
      </c>
      <c r="C8" s="10" t="n">
        <v>350</v>
      </c>
      <c r="D8" s="10" t="n">
        <v>334</v>
      </c>
      <c r="E8" s="10" t="n">
        <v>307</v>
      </c>
      <c r="F8" s="10" t="n">
        <v>243</v>
      </c>
      <c r="G8" s="10" t="n">
        <v>229</v>
      </c>
    </row>
    <row r="9">
      <c r="A9" s="14" t="inlineStr">
        <is>
          <t>EBITDA margin</t>
        </is>
      </c>
      <c r="B9" s="19" t="n">
        <v>0.13</v>
      </c>
      <c r="C9" s="19" t="n">
        <v>0.14</v>
      </c>
      <c r="D9" s="19" t="n">
        <v>0.13</v>
      </c>
      <c r="E9" s="19" t="n">
        <v>0.12</v>
      </c>
      <c r="F9" s="19" t="n">
        <v>0.1</v>
      </c>
      <c r="G9" s="19" t="n">
        <v>0.09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60" customWidth="1" min="4" max="4"/>
  </cols>
  <sheetData>
    <row r="1" ht="28" customHeight="1">
      <c r="A1" s="1" t="inlineStr">
        <is>
          <t>2016: Thai Union's Investment (docs/sources.md §3)</t>
        </is>
      </c>
    </row>
    <row r="3">
      <c r="A3" s="7" t="inlineStr">
        <is>
          <t>The only solid financial anchor point between the 2014 sale and the 2024 filing.</t>
        </is>
      </c>
    </row>
    <row r="5">
      <c r="A5" s="8" t="inlineStr">
        <is>
          <t>Metric</t>
        </is>
      </c>
      <c r="B5" s="8" t="inlineStr">
        <is>
          <t>Value</t>
        </is>
      </c>
      <c r="C5" s="8" t="inlineStr">
        <is>
          <t>Unit</t>
        </is>
      </c>
      <c r="D5" s="8" t="inlineStr">
        <is>
          <t>Source</t>
        </is>
      </c>
    </row>
    <row r="6">
      <c r="A6" s="9" t="inlineStr">
        <is>
          <t>Thai Union investment</t>
        </is>
      </c>
      <c r="B6" s="10" t="n">
        <v>575</v>
      </c>
      <c r="C6" s="11" t="inlineStr">
        <is>
          <t>musd</t>
        </is>
      </c>
      <c r="D6" s="11" t="inlineStr">
        <is>
          <t>Press (Spokesman-Review, Oct 2016)</t>
        </is>
      </c>
    </row>
    <row r="7">
      <c r="A7" s="9" t="inlineStr">
        <is>
          <t>Stake acquired (common, outright)</t>
        </is>
      </c>
      <c r="B7" s="19" t="n">
        <v>0.25</v>
      </c>
      <c r="C7" s="11" t="inlineStr">
        <is>
          <t>pct</t>
        </is>
      </c>
      <c r="D7" s="11" t="inlineStr">
        <is>
          <t>Press</t>
        </is>
      </c>
    </row>
    <row r="8">
      <c r="A8" s="9" t="inlineStr">
        <is>
          <t>Stake acquired (preferred, convertible over 10yr)</t>
        </is>
      </c>
      <c r="B8" s="19" t="n">
        <v>0.24</v>
      </c>
      <c r="C8" s="11" t="inlineStr">
        <is>
          <t>pct</t>
        </is>
      </c>
      <c r="D8" s="11" t="inlineStr">
        <is>
          <t>Press</t>
        </is>
      </c>
    </row>
    <row r="9">
      <c r="A9" s="9" t="inlineStr">
        <is>
          <t>Total stake</t>
        </is>
      </c>
      <c r="B9" s="19" t="n">
        <v>0.49</v>
      </c>
      <c r="C9" s="11" t="inlineStr">
        <is>
          <t>pct</t>
        </is>
      </c>
      <c r="D9" s="11" t="inlineStr">
        <is>
          <t>Press, and confirmed in 2024 first-day declaration as '~47% common + 100% preferred' at a later date</t>
        </is>
      </c>
    </row>
    <row r="10">
      <c r="A10" s="9" t="inlineStr">
        <is>
          <t>Revenue, LTM Aug 2016</t>
        </is>
      </c>
      <c r="B10" s="10" t="n">
        <v>2479</v>
      </c>
      <c r="C10" s="11" t="inlineStr">
        <is>
          <t>musd</t>
        </is>
      </c>
      <c r="D10" s="11" t="inlineStr">
        <is>
          <t>Press, citing Thai Union's own disclosed deal rationale</t>
        </is>
      </c>
    </row>
    <row r="11">
      <c r="A11" s="9" t="inlineStr">
        <is>
          <t>Operating profit, LTM Aug 2016</t>
        </is>
      </c>
      <c r="B11" s="10" t="n">
        <v>144</v>
      </c>
      <c r="C11" s="11" t="inlineStr">
        <is>
          <t>musd</t>
        </is>
      </c>
      <c r="D11" s="11" t="inlineStr">
        <is>
          <t>Press, citing Thai Union's own disclosed deal rationale</t>
        </is>
      </c>
    </row>
    <row r="12">
      <c r="A12" s="9" t="inlineStr">
        <is>
          <t>Implied Red Lobster equity valuation</t>
        </is>
      </c>
      <c r="B12" s="10" t="n">
        <v>920</v>
      </c>
      <c r="C12" s="11" t="inlineStr">
        <is>
          <t>musd</t>
        </is>
      </c>
      <c r="D12" s="11" t="inlineStr">
        <is>
          <t>Press, per Thai Union's own deal math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44" customWidth="1" min="3" max="3"/>
    <col width="40" customWidth="1" min="4" max="4"/>
  </cols>
  <sheetData>
    <row r="1" ht="28" customHeight="1">
      <c r="A1" s="1" t="inlineStr">
        <is>
          <t>Capital Structure at the May 2024 Filing (docs/sources.md §5)</t>
        </is>
      </c>
    </row>
    <row r="4">
      <c r="A4" s="8" t="inlineStr">
        <is>
          <t>Item</t>
        </is>
      </c>
      <c r="B4" s="8" t="inlineStr">
        <is>
          <t>$M</t>
        </is>
      </c>
      <c r="C4" s="8" t="inlineStr">
        <is>
          <t>Detail</t>
        </is>
      </c>
      <c r="D4" s="8" t="inlineStr">
        <is>
          <t>Source</t>
        </is>
      </c>
    </row>
    <row r="5">
      <c r="A5" s="9" t="inlineStr">
        <is>
          <t>Prepetition Term Loan (Fortress Credit Corp, dated Jan 22 2021)</t>
        </is>
      </c>
      <c r="B5" s="18" t="n">
        <v>264.72</v>
      </c>
      <c r="C5" s="11" t="inlineStr">
        <is>
          <t>secured by substantially all assets</t>
        </is>
      </c>
      <c r="D5" s="11" t="inlineStr">
        <is>
          <t>First-day declaration ¶27-28</t>
        </is>
      </c>
    </row>
    <row r="6">
      <c r="A6" s="9" t="inlineStr">
        <is>
          <t>ABL Facility outstanding letters of credit (Wells Fargo)</t>
        </is>
      </c>
      <c r="B6" s="18" t="n">
        <v>29.28</v>
      </c>
      <c r="C6" s="11" t="inlineStr">
        <is>
          <t>of a $100M facility, $0 cash drawn</t>
        </is>
      </c>
      <c r="D6" s="11" t="inlineStr">
        <is>
          <t>First-day declaration ¶29</t>
        </is>
      </c>
    </row>
    <row r="7">
      <c r="A7" s="9" t="inlineStr">
        <is>
          <t>Total funded debt at filing</t>
        </is>
      </c>
      <c r="B7" s="18" t="n">
        <v>293.996</v>
      </c>
      <c r="C7" s="11" t="inlineStr">
        <is>
          <t>sum of the two rows above</t>
        </is>
      </c>
      <c r="D7" s="11" t="inlineStr">
        <is>
          <t>First-day declaration ¶27</t>
        </is>
      </c>
    </row>
    <row r="8">
      <c r="A8" s="9" t="inlineStr">
        <is>
          <t>2023 total lease obligations</t>
        </is>
      </c>
      <c r="B8" s="18" t="n">
        <v>190.5</v>
      </c>
      <c r="C8" s="11" t="inlineStr">
        <is>
          <t>687 leased locations: 247 Master Leases + 440 individual</t>
        </is>
      </c>
      <c r="D8" s="11" t="inlineStr">
        <is>
          <t>First-day declaration ¶38</t>
        </is>
      </c>
    </row>
    <row r="9">
      <c r="A9" s="9" t="inlineStr">
        <is>
          <t>...of which tied to underperforming stores</t>
        </is>
      </c>
      <c r="B9" s="18" t="n">
        <v>64</v>
      </c>
      <c r="C9" s="11" t="inlineStr">
        <is>
          <t>lower bound, 'over $64 million'</t>
        </is>
      </c>
      <c r="D9" s="11" t="inlineStr">
        <is>
          <t>First-day declaration ¶38</t>
        </is>
      </c>
    </row>
    <row r="10">
      <c r="A10" s="9" t="inlineStr">
        <is>
          <t>Press-reported alternative 2023 rent figure</t>
        </is>
      </c>
      <c r="B10" s="18" t="n">
        <v>200</v>
      </c>
      <c r="C10" s="11" t="inlineStr">
        <is>
          <t>~10% of revenue, slightly different measurement window</t>
        </is>
      </c>
      <c r="D10" s="11" t="inlineStr">
        <is>
          <t>Press (Fast Company)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</cols>
  <sheetData>
    <row r="1" ht="28" customHeight="1">
      <c r="A1" s="1" t="inlineStr">
        <is>
          <t>Lease-Adjusted Leverage (Illustrative)</t>
        </is>
      </c>
    </row>
    <row r="3" ht="45" customHeight="1">
      <c r="A3" s="20" t="inlineStr">
        <is>
          <t>Funded debt alone looks modest. This tab capitalizes the 2023 annual rent at an illustrative multiple to show the real fixed-obligation load -- a standard credit-analysis technique, not a disclosed or audited figure. Change the red cell to test sensitivity.</t>
        </is>
      </c>
    </row>
    <row r="4"/>
    <row r="5">
      <c r="A5" s="5" t="inlineStr">
        <is>
          <t>Funded debt at filing ($M)</t>
        </is>
      </c>
      <c r="B5" s="21">
        <f>'Capital Structure 2024'!B7</f>
        <v/>
      </c>
    </row>
    <row r="6">
      <c r="A6" s="14" t="inlineStr">
        <is>
          <t>2023 annual lease obligations ($M)</t>
        </is>
      </c>
      <c r="B6" s="22">
        <f>'Capital Structure 2024'!B8</f>
        <v/>
      </c>
    </row>
    <row r="7">
      <c r="A7" s="12" t="n"/>
      <c r="B7" s="12" t="n"/>
    </row>
    <row r="8">
      <c r="A8" s="14" t="inlineStr">
        <is>
          <t>Illustrative lease capitalization multiple</t>
        </is>
      </c>
      <c r="B8" s="23" t="n">
        <v>8</v>
      </c>
    </row>
    <row r="9">
      <c r="A9" s="14" t="inlineStr">
        <is>
          <t>Implied 'lease debt' ($M)</t>
        </is>
      </c>
      <c r="B9" s="24">
        <f>B6*B8</f>
        <v/>
      </c>
    </row>
    <row r="10">
      <c r="A10" s="14" t="inlineStr">
        <is>
          <t>Total effective fixed obligations ($M)</t>
        </is>
      </c>
      <c r="B10" s="24">
        <f>B5+B9</f>
        <v/>
      </c>
    </row>
    <row r="11">
      <c r="A11" s="14" t="inlineStr">
        <is>
          <t>Lease debt as a multiple of funded debt</t>
        </is>
      </c>
      <c r="B11" s="25">
        <f>B9/B5</f>
        <v/>
      </c>
    </row>
    <row r="12">
      <c r="A12" s="12" t="n"/>
      <c r="B12" s="12" t="n"/>
    </row>
    <row r="13" ht="45" customHeight="1">
      <c r="A13" s="26" t="inlineStr">
        <is>
          <t>Takeaway: looking only at funded debt (~$294M) materially understates how little margin for error this business had. The sale-leaseback moved the real financial risk off the balance sheet's debt line and into a rent line that shows up as an operating expense instead.</t>
        </is>
      </c>
      <c r="B13" s="12" t="n"/>
    </row>
  </sheetData>
  <mergeCells count="3">
    <mergeCell ref="A13:B13"/>
    <mergeCell ref="A3:B3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30" customWidth="1" min="3" max="3"/>
    <col width="40" customWidth="1" min="4" max="4"/>
  </cols>
  <sheetData>
    <row r="1" ht="28" customHeight="1">
      <c r="A1" s="1" t="inlineStr">
        <is>
          <t>The 2023 Cash Collapse (docs/sources.md §5)</t>
        </is>
      </c>
    </row>
    <row r="4">
      <c r="A4" s="8" t="inlineStr">
        <is>
          <t>Event</t>
        </is>
      </c>
      <c r="B4" s="8" t="inlineStr">
        <is>
          <t>$M</t>
        </is>
      </c>
      <c r="C4" s="8" t="inlineStr">
        <is>
          <t>Period</t>
        </is>
      </c>
      <c r="D4" s="8" t="inlineStr">
        <is>
          <t>Source</t>
        </is>
      </c>
    </row>
    <row r="5">
      <c r="A5" s="9" t="inlineStr">
        <is>
          <t>Cash on hand</t>
        </is>
      </c>
      <c r="B5" s="18" t="n">
        <v>100</v>
      </c>
      <c r="C5" s="11" t="inlineStr">
        <is>
          <t>May 2023</t>
        </is>
      </c>
      <c r="D5" s="11" t="inlineStr">
        <is>
          <t>First-day declaration ¶34</t>
        </is>
      </c>
    </row>
    <row r="6">
      <c r="A6" s="9" t="inlineStr">
        <is>
          <t>Operating cash losses</t>
        </is>
      </c>
      <c r="B6" s="18" t="n">
        <v>-31</v>
      </c>
      <c r="C6" s="11" t="inlineStr">
        <is>
          <t>Jun-Sep 2023</t>
        </is>
      </c>
      <c r="D6" s="11" t="inlineStr">
        <is>
          <t>First-day declaration ¶34</t>
        </is>
      </c>
    </row>
    <row r="7">
      <c r="A7" s="9" t="inlineStr">
        <is>
          <t>Forced ABL paydown (vendor-managed inventory program shrank borrowing base)</t>
        </is>
      </c>
      <c r="B7" s="18" t="n">
        <v>-27</v>
      </c>
      <c r="C7" s="11" t="inlineStr">
        <is>
          <t>~2023</t>
        </is>
      </c>
      <c r="D7" s="11" t="inlineStr">
        <is>
          <t>First-day declaration ¶34</t>
        </is>
      </c>
    </row>
    <row r="8">
      <c r="A8" s="9" t="inlineStr">
        <is>
          <t>FY2023 interest payments</t>
        </is>
      </c>
      <c r="B8" s="18" t="n">
        <v>-32</v>
      </c>
      <c r="C8" s="11" t="inlineStr">
        <is>
          <t>FY2023</t>
        </is>
      </c>
      <c r="D8" s="11" t="inlineStr">
        <is>
          <t>First-day declaration ¶33</t>
        </is>
      </c>
    </row>
    <row r="9">
      <c r="A9" s="9" t="inlineStr">
        <is>
          <t>Cash on hand</t>
        </is>
      </c>
      <c r="B9" s="18" t="n">
        <v>30</v>
      </c>
      <c r="C9" s="11" t="inlineStr">
        <is>
          <t>~Nov 2023 (approx. 6 months after May 2023)</t>
        </is>
      </c>
      <c r="D9" s="11" t="inlineStr">
        <is>
          <t>First-day declaration ¶34 ('less than $30 million')</t>
        </is>
      </c>
    </row>
    <row r="10">
      <c r="A10" s="9" t="inlineStr">
        <is>
          <t>FY2023 net loss</t>
        </is>
      </c>
      <c r="B10" s="18" t="n">
        <v>-76</v>
      </c>
      <c r="C10" s="11" t="inlineStr">
        <is>
          <t>FY2023</t>
        </is>
      </c>
      <c r="D10" s="11" t="inlineStr">
        <is>
          <t>First-day declaration ¶33</t>
        </is>
      </c>
    </row>
    <row r="11">
      <c r="A11" s="9" t="inlineStr">
        <is>
          <t>Guest count change since 2019</t>
        </is>
      </c>
      <c r="B11" s="18" t="n">
        <v>-30</v>
      </c>
      <c r="C11" s="11" t="inlineStr">
        <is>
          <t>pct, 2019 to ~2023/24</t>
        </is>
      </c>
      <c r="D11" s="11" t="inlineStr">
        <is>
          <t>First-day declaration ¶33</t>
        </is>
      </c>
    </row>
    <row r="12">
      <c r="A12" s="9" t="inlineStr">
        <is>
          <t>Net sales change, 2021 to 2023</t>
        </is>
      </c>
      <c r="B12" s="18" t="n">
        <v>25</v>
      </c>
      <c r="C12" s="11" t="inlineStr">
        <is>
          <t>pct, pandemic recovery</t>
        </is>
      </c>
      <c r="D12" s="11" t="inlineStr">
        <is>
          <t>First-day declaration ¶33</t>
        </is>
      </c>
    </row>
    <row r="13">
      <c r="A13" s="9" t="inlineStr">
        <is>
          <t>Adjusted EBITDA change, trailing twelve months before filing</t>
        </is>
      </c>
      <c r="B13" s="18" t="n">
        <v>-60</v>
      </c>
      <c r="C13" s="11" t="inlineStr">
        <is>
          <t>pct, LTM pre-filing (~2023-2024)</t>
        </is>
      </c>
      <c r="D13" s="11" t="inlineStr">
        <is>
          <t>First-day declaration ¶33</t>
        </is>
      </c>
    </row>
    <row r="14">
      <c r="A14" s="9" t="inlineStr">
        <is>
          <t>'Ultimate Endless Shrimp' permanent-menu decision cost</t>
        </is>
      </c>
      <c r="B14" s="18" t="n">
        <v>-11</v>
      </c>
      <c r="C14" s="11" t="inlineStr">
        <is>
          <t>from May 2023 decision</t>
        </is>
      </c>
      <c r="D14" s="11" t="inlineStr">
        <is>
          <t>First-day declaration ¶39</t>
        </is>
      </c>
    </row>
    <row r="16" ht="45" customHeight="1">
      <c r="A16" s="20" t="inlineStr">
        <is>
          <t>The three itemized outflows (operating losses, forced ABL paydown, interest) sum to -$90M against the $100M starting balance, implying ~$10M -- the declaration states the actual floor was 'less than $30 million,' meaning smaller unitemized inflows partially offset these three drivers. That gap is shown, not reconciled away.</t>
        </is>
      </c>
    </row>
  </sheetData>
  <mergeCells count="2">
    <mergeCell ref="A1:D1"/>
    <mergeCell ref="A16:D1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85" customWidth="1" min="2" max="2"/>
  </cols>
  <sheetData>
    <row r="1" ht="28" customHeight="1">
      <c r="A1" s="1" t="inlineStr">
        <is>
          <t>Ownership Timeline &amp; the 2024 Outcome</t>
        </is>
      </c>
    </row>
    <row r="3">
      <c r="A3" s="8" t="inlineStr">
        <is>
          <t>Year</t>
        </is>
      </c>
      <c r="B3" s="8" t="inlineStr">
        <is>
          <t>Event</t>
        </is>
      </c>
    </row>
    <row r="4" ht="30" customHeight="1">
      <c r="A4" s="9" t="inlineStr">
        <is>
          <t>2014</t>
        </is>
      </c>
      <c r="B4" s="27" t="inlineStr">
        <is>
          <t>Golden Gate Capital buys Red Lobster from Darden ($2.1B; $600M own equity + $1.5B real estate monetization).</t>
        </is>
      </c>
    </row>
    <row r="5" ht="30" customHeight="1">
      <c r="A5" s="9" t="inlineStr">
        <is>
          <t>2016</t>
        </is>
      </c>
      <c r="B5" s="27" t="inlineStr">
        <is>
          <t>Thai Union invests $575M for a 49% stake (25% common + 24% convertible preferred).</t>
        </is>
      </c>
    </row>
    <row r="6" ht="30" customHeight="1">
      <c r="A6" s="9" t="inlineStr">
        <is>
          <t>2020</t>
        </is>
      </c>
      <c r="B6" s="27" t="inlineStr">
        <is>
          <t>Golden Gate Capital FULLY EXITS -- sells remaining stake to Thai Union, management, and 'Seafood Alliance.' Exit terms not disclosed in sources reviewed.</t>
        </is>
      </c>
    </row>
    <row r="7" ht="30" customHeight="1">
      <c r="A7" s="9" t="inlineStr">
        <is>
          <t>2021</t>
        </is>
      </c>
      <c r="B7" s="27" t="inlineStr">
        <is>
          <t>New $264.7M Term Loan arranged with Fortress Credit Corp.</t>
        </is>
      </c>
    </row>
    <row r="8" ht="30" customHeight="1">
      <c r="A8" s="9" t="inlineStr">
        <is>
          <t>2023</t>
        </is>
      </c>
      <c r="B8" s="27" t="inlineStr">
        <is>
          <t>Liquidity crisis: cash falls from $100M to &lt;$30M in ~6 months; $76M net loss for the year.</t>
        </is>
      </c>
    </row>
    <row r="9" ht="30" customHeight="1">
      <c r="A9" s="9" t="inlineStr">
        <is>
          <t>May 2024</t>
        </is>
      </c>
      <c r="B9" s="27" t="inlineStr">
        <is>
          <t>Chapter 11 filed. Ownership at filing: Thai Union ~47% common + 100% preferred; Seafood Alliance ~38% common; former management, remainder.</t>
        </is>
      </c>
    </row>
    <row r="10" ht="30" customHeight="1">
      <c r="A10" s="9" t="inlineStr">
        <is>
          <t>Sep 2024</t>
        </is>
      </c>
      <c r="B10" s="27" t="inlineStr">
        <is>
          <t>Fortress (the secured lender) credit-bids $376M and takes ownership. Thai Union / Seafood Alliance / management equity -&gt; $0.</t>
        </is>
      </c>
    </row>
    <row r="12">
      <c r="A12" s="3" t="inlineStr">
        <is>
          <t>FINAL OUTCOME DETAIL</t>
        </is>
      </c>
    </row>
    <row r="13">
      <c r="A13" s="5" t="inlineStr">
        <is>
          <t>Filing date</t>
        </is>
      </c>
      <c r="B13" s="28" t="inlineStr">
        <is>
          <t>2024-05-19</t>
        </is>
      </c>
    </row>
    <row r="14">
      <c r="A14" s="5" t="inlineStr">
        <is>
          <t>Court</t>
        </is>
      </c>
      <c r="B14" s="28" t="inlineStr">
        <is>
          <t>US Bankruptcy Court, Middle District of Florida, Orlando Division, Case 6:24-bk-02486-GER</t>
        </is>
      </c>
    </row>
    <row r="15">
      <c r="A15" s="5" t="inlineStr">
        <is>
          <t>Fortress credit bid for the business</t>
        </is>
      </c>
      <c r="B15" s="28" t="inlineStr">
        <is>
          <t>$376 million</t>
        </is>
      </c>
    </row>
    <row r="16">
      <c r="A16" s="5" t="inlineStr">
        <is>
          <t>Sale closed</t>
        </is>
      </c>
      <c r="B16" s="28" t="inlineStr">
        <is>
          <t>2024-09-16</t>
        </is>
      </c>
    </row>
    <row r="17">
      <c r="A17" s="5" t="inlineStr">
        <is>
          <t>New owner</t>
        </is>
      </c>
      <c r="B17" s="28" t="inlineStr">
        <is>
          <t>RL Investor Holdings LLC (Fortress-managed funds + TCW Private Credit + Blue Torch Capital)</t>
        </is>
      </c>
    </row>
    <row r="18">
      <c r="A18" s="5" t="inlineStr">
        <is>
          <t>Thai Union equity outcome</t>
        </is>
      </c>
      <c r="B18" s="28" t="inlineStr">
        <is>
          <t>Wiped out ($0)</t>
        </is>
      </c>
    </row>
    <row r="19">
      <c r="A19" s="5" t="inlineStr">
        <is>
          <t>Seafood Alliance equity outcome</t>
        </is>
      </c>
      <c r="B19" s="28" t="inlineStr">
        <is>
          <t>Wiped out ($0)</t>
        </is>
      </c>
    </row>
    <row r="20">
      <c r="A20" s="5" t="inlineStr">
        <is>
          <t>Former management equity outcome</t>
        </is>
      </c>
      <c r="B20" s="28" t="inlineStr">
        <is>
          <t>Wiped out ($0)</t>
        </is>
      </c>
    </row>
    <row r="21">
      <c r="A21" s="5" t="inlineStr">
        <is>
          <t>General unsecured creditor recovery</t>
        </is>
      </c>
      <c r="B21" s="28" t="inlineStr">
        <is>
          <t>Litigation trust interests only, no stated cash recovery</t>
        </is>
      </c>
    </row>
    <row r="22">
      <c r="A22" s="5" t="inlineStr">
        <is>
          <t>Golden Gate Capital's 2020 exit terms</t>
        </is>
      </c>
      <c r="B22" s="29" t="inlineStr">
        <is>
          <t>NOT DISCLOSED in sources reviewed -- not estimated here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2026-10-20T20:10:43Z</dcterms:created>
  <dcterms:modified xmlns:dcterms="http://purl.org/dc/terms/" xmlns:xsi="http://www.w3.org/2001/XMLSchema-instance" xsi:type="dcterms:W3CDTF">2026-10-20T20:10:43Z</dcterms:modified>
</cp:coreProperties>
</file>